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feedbacks" sheetId="2" r:id="rId6"/>
    <sheet state="visible" name="Analysis" sheetId="3" r:id="rId7"/>
  </sheets>
  <definedNames/>
  <calcPr/>
</workbook>
</file>

<file path=xl/sharedStrings.xml><?xml version="1.0" encoding="utf-8"?>
<sst xmlns="http://schemas.openxmlformats.org/spreadsheetml/2006/main" count="124" uniqueCount="91">
  <si>
    <t>ticket_id</t>
  </si>
  <si>
    <t>created_at</t>
  </si>
  <si>
    <t>closed_at</t>
  </si>
  <si>
    <t>outlet_id</t>
  </si>
  <si>
    <t>cms_id</t>
  </si>
  <si>
    <t>Same_Day</t>
  </si>
  <si>
    <t>Same_Hour</t>
  </si>
  <si>
    <t>isu-sjd-457</t>
  </si>
  <si>
    <t>2021-08-19 16:45:43</t>
  </si>
  <si>
    <t>2021-08-22 12:33:32</t>
  </si>
  <si>
    <t>wrqy-juv-978</t>
  </si>
  <si>
    <t>vew-iuvd-12</t>
  </si>
  <si>
    <t>qer-fal-092</t>
  </si>
  <si>
    <t>2021-08-21 11:09:22</t>
  </si>
  <si>
    <t>2021-08-21 17:13:45</t>
  </si>
  <si>
    <t>8woh-k3u-23b</t>
  </si>
  <si>
    <t>cms-qer-092</t>
  </si>
  <si>
    <t>tkt-abc-111</t>
  </si>
  <si>
    <t>2021-08-21 09:00:00</t>
  </si>
  <si>
    <t>2021-08-21 09:45:00</t>
  </si>
  <si>
    <t>cms-xyz-01</t>
  </si>
  <si>
    <t>tkt-abc-112</t>
  </si>
  <si>
    <t>2021-08-22 10:00:00</t>
  </si>
  <si>
    <t>2021-08-22 10:30:00</t>
  </si>
  <si>
    <t>cms-xyz-02</t>
  </si>
  <si>
    <t>tkt-abc-113</t>
  </si>
  <si>
    <t>2021-08-23 14:00:00</t>
  </si>
  <si>
    <t>2021-08-24 14:00:00</t>
  </si>
  <si>
    <t>cms-xyz-03</t>
  </si>
  <si>
    <t>tkt-abc-114</t>
  </si>
  <si>
    <t>2021-08-25 08:00:00</t>
  </si>
  <si>
    <t>2021-08-25 08:55:00</t>
  </si>
  <si>
    <t>cms-xyz-04</t>
  </si>
  <si>
    <t>tkt-abc-115</t>
  </si>
  <si>
    <t>2021-08-26 15:00:00</t>
  </si>
  <si>
    <t>2021-08-27 15:00:00</t>
  </si>
  <si>
    <t>cms-xyz-05</t>
  </si>
  <si>
    <t>tkt-abc-116</t>
  </si>
  <si>
    <t>2021-08-27 10:00:00</t>
  </si>
  <si>
    <t>2021-08-27 10:45:00</t>
  </si>
  <si>
    <t>cms-xyz-06</t>
  </si>
  <si>
    <t>tkt-abc-117</t>
  </si>
  <si>
    <t>2021-08-28 09:30:00</t>
  </si>
  <si>
    <t>2021-08-28 11:30:00</t>
  </si>
  <si>
    <t>cms-xyz-07</t>
  </si>
  <si>
    <t>tkt-abc-118</t>
  </si>
  <si>
    <t>2021-08-29 14:00:00</t>
  </si>
  <si>
    <t>2021-08-29 14:50:00</t>
  </si>
  <si>
    <t>cms-xyz-08</t>
  </si>
  <si>
    <t>tkt-abc-119</t>
  </si>
  <si>
    <t>2021-08-30 08:00:00</t>
  </si>
  <si>
    <t>2021-08-31 08:00:00</t>
  </si>
  <si>
    <t>cms-xyz-09</t>
  </si>
  <si>
    <t>tkt-abc-120</t>
  </si>
  <si>
    <t>2021-09-01 11:00:00</t>
  </si>
  <si>
    <t>2021-09-01 11:45:00</t>
  </si>
  <si>
    <t>cms-xyz-10</t>
  </si>
  <si>
    <t>tkt-abc-121</t>
  </si>
  <si>
    <t>2021-09-02 13:00:00</t>
  </si>
  <si>
    <t>2021-09-03 13:00:00</t>
  </si>
  <si>
    <t>cms-xyz-11</t>
  </si>
  <si>
    <t>tkt-abc-122</t>
  </si>
  <si>
    <t>2021-09-03 09:00:00</t>
  </si>
  <si>
    <t>2021-09-03 09:30:00</t>
  </si>
  <si>
    <t>cms-xyz-12</t>
  </si>
  <si>
    <t>tkt-abc-123</t>
  </si>
  <si>
    <t>2021-09-04 16:00:00</t>
  </si>
  <si>
    <t>2021-09-05 10:00:00</t>
  </si>
  <si>
    <t>cms-xyz-13</t>
  </si>
  <si>
    <t>feedback_at</t>
  </si>
  <si>
    <t>feedback_rating</t>
  </si>
  <si>
    <t>ticket_created_at</t>
  </si>
  <si>
    <t>2021-08-21 13:26:48</t>
  </si>
  <si>
    <t>2021-08-22 09:00:00</t>
  </si>
  <si>
    <t>2021-08-23 11:00:00</t>
  </si>
  <si>
    <t>2021-08-25 09:00:00</t>
  </si>
  <si>
    <t>2021-08-26 08:30:00</t>
  </si>
  <si>
    <t>2021-08-27 16:00:00</t>
  </si>
  <si>
    <t>2021-08-28 11:00:00</t>
  </si>
  <si>
    <t>2021-08-29 12:00:00</t>
  </si>
  <si>
    <t>2021-08-30 09:00:00</t>
  </si>
  <si>
    <t>2021-09-01 10:00:00</t>
  </si>
  <si>
    <t>2021-09-02 14:00:00</t>
  </si>
  <si>
    <t>2021-09-03 11:00:00</t>
  </si>
  <si>
    <t>2021-09-04 10:30:00</t>
  </si>
  <si>
    <t>2021-09-05 15:00:00</t>
  </si>
  <si>
    <t>Same_Day_Count (Q2a)</t>
  </si>
  <si>
    <t>Same_Hour_Count (Q2b)</t>
  </si>
  <si>
    <t>Notes:</t>
  </si>
  <si>
    <t>Q2a: Count of tickets created AND closed on the SAME DAY per outlet</t>
  </si>
  <si>
    <t>Q2b: Count of tickets created AND closed in the SAME HOUR of the same day per outlet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</si>
</sst>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Arial"/>
    </font>
    <font>
      <sz val="10.0"/>
      <color theme="1"/>
      <name val="Arial"/>
    </font>
    <font>
      <b/>
      <color theme="1"/>
      <name val="Arial"/>
    </font>
    <font>
      <i/>
      <color rgb="FF595959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FFF2CC"/>
        <bgColor rgb="FFFFF2CC"/>
      </patternFill>
    </fill>
    <fill>
      <patternFill patternType="solid">
        <fgColor rgb="FF7030A0"/>
        <bgColor rgb="FF7030A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/>
    </xf>
    <xf borderId="0" fillId="0" fontId="2" numFmtId="0" xfId="0" applyFont="1"/>
    <xf borderId="1" fillId="4" fontId="1" numFmtId="0" xfId="0" applyAlignment="1" applyBorder="1" applyFill="1" applyFont="1">
      <alignment horizontal="center"/>
    </xf>
    <xf borderId="1" fillId="4" fontId="1" numFmtId="0" xfId="0" applyAlignment="1" applyBorder="1" applyFont="1">
      <alignment horizontal="center" readingOrder="0"/>
    </xf>
    <xf borderId="1" fillId="5" fontId="2" numFmtId="0" xfId="0" applyBorder="1" applyFill="1" applyFont="1"/>
    <xf borderId="1" fillId="6" fontId="1" numFmtId="0" xfId="0" applyAlignment="1" applyBorder="1" applyFill="1" applyFont="1">
      <alignment horizontal="center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3" width="22.0"/>
    <col customWidth="1" min="4" max="5" width="16.0"/>
    <col customWidth="1" min="6" max="6" width="12.0"/>
    <col customWidth="1" min="7" max="7" width="14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b">
        <f t="shared" ref="F2:F16" si="1">INT(B2)=INT(C2)</f>
        <v>0</v>
      </c>
      <c r="G2" s="3" t="b">
        <f t="shared" ref="G2:G16" si="2">AND(INT(B2)=INT(C2),HOUR(B2)=HOUR(C2))</f>
        <v>0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b">
        <f t="shared" si="1"/>
        <v>1</v>
      </c>
      <c r="G3" s="3" t="b">
        <f t="shared" si="2"/>
        <v>0</v>
      </c>
    </row>
    <row r="4">
      <c r="A4" s="3" t="s">
        <v>17</v>
      </c>
      <c r="B4" s="3" t="s">
        <v>18</v>
      </c>
      <c r="C4" s="3" t="s">
        <v>19</v>
      </c>
      <c r="D4" s="3" t="s">
        <v>10</v>
      </c>
      <c r="E4" s="3" t="s">
        <v>20</v>
      </c>
      <c r="F4" s="3" t="b">
        <f t="shared" si="1"/>
        <v>1</v>
      </c>
      <c r="G4" s="3" t="b">
        <f t="shared" si="2"/>
        <v>1</v>
      </c>
    </row>
    <row r="5">
      <c r="A5" s="3" t="s">
        <v>21</v>
      </c>
      <c r="B5" s="3" t="s">
        <v>22</v>
      </c>
      <c r="C5" s="3" t="s">
        <v>23</v>
      </c>
      <c r="D5" s="3" t="s">
        <v>15</v>
      </c>
      <c r="E5" s="3" t="s">
        <v>24</v>
      </c>
      <c r="F5" s="3" t="b">
        <f t="shared" si="1"/>
        <v>1</v>
      </c>
      <c r="G5" s="3" t="b">
        <f t="shared" si="2"/>
        <v>1</v>
      </c>
    </row>
    <row r="6">
      <c r="A6" s="3" t="s">
        <v>25</v>
      </c>
      <c r="B6" s="3" t="s">
        <v>26</v>
      </c>
      <c r="C6" s="3" t="s">
        <v>27</v>
      </c>
      <c r="D6" s="3" t="s">
        <v>10</v>
      </c>
      <c r="E6" s="3" t="s">
        <v>28</v>
      </c>
      <c r="F6" s="3" t="b">
        <f t="shared" si="1"/>
        <v>0</v>
      </c>
      <c r="G6" s="3" t="b">
        <f t="shared" si="2"/>
        <v>0</v>
      </c>
    </row>
    <row r="7">
      <c r="A7" s="3" t="s">
        <v>29</v>
      </c>
      <c r="B7" s="3" t="s">
        <v>30</v>
      </c>
      <c r="C7" s="3" t="s">
        <v>31</v>
      </c>
      <c r="D7" s="3" t="s">
        <v>10</v>
      </c>
      <c r="E7" s="3" t="s">
        <v>32</v>
      </c>
      <c r="F7" s="3" t="b">
        <f t="shared" si="1"/>
        <v>1</v>
      </c>
      <c r="G7" s="3" t="b">
        <f t="shared" si="2"/>
        <v>1</v>
      </c>
    </row>
    <row r="8">
      <c r="A8" s="3" t="s">
        <v>33</v>
      </c>
      <c r="B8" s="3" t="s">
        <v>34</v>
      </c>
      <c r="C8" s="3" t="s">
        <v>35</v>
      </c>
      <c r="D8" s="3" t="s">
        <v>15</v>
      </c>
      <c r="E8" s="3" t="s">
        <v>36</v>
      </c>
      <c r="F8" s="3" t="b">
        <f t="shared" si="1"/>
        <v>0</v>
      </c>
      <c r="G8" s="3" t="b">
        <f t="shared" si="2"/>
        <v>0</v>
      </c>
    </row>
    <row r="9">
      <c r="A9" s="3" t="s">
        <v>37</v>
      </c>
      <c r="B9" s="3" t="s">
        <v>38</v>
      </c>
      <c r="C9" s="3" t="s">
        <v>39</v>
      </c>
      <c r="D9" s="3" t="s">
        <v>10</v>
      </c>
      <c r="E9" s="3" t="s">
        <v>40</v>
      </c>
      <c r="F9" s="3" t="b">
        <f t="shared" si="1"/>
        <v>1</v>
      </c>
      <c r="G9" s="3" t="b">
        <f t="shared" si="2"/>
        <v>1</v>
      </c>
    </row>
    <row r="10">
      <c r="A10" s="3" t="s">
        <v>41</v>
      </c>
      <c r="B10" s="3" t="s">
        <v>42</v>
      </c>
      <c r="C10" s="3" t="s">
        <v>43</v>
      </c>
      <c r="D10" s="3" t="s">
        <v>15</v>
      </c>
      <c r="E10" s="3" t="s">
        <v>44</v>
      </c>
      <c r="F10" s="3" t="b">
        <f t="shared" si="1"/>
        <v>1</v>
      </c>
      <c r="G10" s="3" t="b">
        <f t="shared" si="2"/>
        <v>0</v>
      </c>
    </row>
    <row r="11">
      <c r="A11" s="3" t="s">
        <v>45</v>
      </c>
      <c r="B11" s="3" t="s">
        <v>46</v>
      </c>
      <c r="C11" s="3" t="s">
        <v>47</v>
      </c>
      <c r="D11" s="3" t="s">
        <v>10</v>
      </c>
      <c r="E11" s="3" t="s">
        <v>48</v>
      </c>
      <c r="F11" s="3" t="b">
        <f t="shared" si="1"/>
        <v>1</v>
      </c>
      <c r="G11" s="3" t="b">
        <f t="shared" si="2"/>
        <v>1</v>
      </c>
    </row>
    <row r="12">
      <c r="A12" s="3" t="s">
        <v>49</v>
      </c>
      <c r="B12" s="3" t="s">
        <v>50</v>
      </c>
      <c r="C12" s="3" t="s">
        <v>51</v>
      </c>
      <c r="D12" s="3" t="s">
        <v>15</v>
      </c>
      <c r="E12" s="3" t="s">
        <v>52</v>
      </c>
      <c r="F12" s="3" t="b">
        <f t="shared" si="1"/>
        <v>0</v>
      </c>
      <c r="G12" s="3" t="b">
        <f t="shared" si="2"/>
        <v>0</v>
      </c>
    </row>
    <row r="13">
      <c r="A13" s="3" t="s">
        <v>53</v>
      </c>
      <c r="B13" s="3" t="s">
        <v>54</v>
      </c>
      <c r="C13" s="3" t="s">
        <v>55</v>
      </c>
      <c r="D13" s="3" t="s">
        <v>10</v>
      </c>
      <c r="E13" s="3" t="s">
        <v>56</v>
      </c>
      <c r="F13" s="3" t="b">
        <f t="shared" si="1"/>
        <v>1</v>
      </c>
      <c r="G13" s="3" t="b">
        <f t="shared" si="2"/>
        <v>1</v>
      </c>
    </row>
    <row r="14">
      <c r="A14" s="3" t="s">
        <v>57</v>
      </c>
      <c r="B14" s="3" t="s">
        <v>58</v>
      </c>
      <c r="C14" s="3" t="s">
        <v>59</v>
      </c>
      <c r="D14" s="3" t="s">
        <v>15</v>
      </c>
      <c r="E14" s="3" t="s">
        <v>60</v>
      </c>
      <c r="F14" s="3" t="b">
        <f t="shared" si="1"/>
        <v>0</v>
      </c>
      <c r="G14" s="3" t="b">
        <f t="shared" si="2"/>
        <v>0</v>
      </c>
    </row>
    <row r="15">
      <c r="A15" s="3" t="s">
        <v>61</v>
      </c>
      <c r="B15" s="3" t="s">
        <v>62</v>
      </c>
      <c r="C15" s="3" t="s">
        <v>63</v>
      </c>
      <c r="D15" s="3" t="s">
        <v>10</v>
      </c>
      <c r="E15" s="3" t="s">
        <v>64</v>
      </c>
      <c r="F15" s="3" t="b">
        <f t="shared" si="1"/>
        <v>1</v>
      </c>
      <c r="G15" s="3" t="b">
        <f t="shared" si="2"/>
        <v>1</v>
      </c>
    </row>
    <row r="16">
      <c r="A16" s="3" t="s">
        <v>65</v>
      </c>
      <c r="B16" s="3" t="s">
        <v>66</v>
      </c>
      <c r="C16" s="3" t="s">
        <v>67</v>
      </c>
      <c r="D16" s="3" t="s">
        <v>15</v>
      </c>
      <c r="E16" s="3" t="s">
        <v>68</v>
      </c>
      <c r="F16" s="3" t="b">
        <f t="shared" si="1"/>
        <v>0</v>
      </c>
      <c r="G16" s="3" t="b">
        <f t="shared" si="2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2.0"/>
    <col customWidth="1" min="3" max="3" width="18.0"/>
    <col customWidth="1" min="4" max="4" width="22.0"/>
    <col customWidth="1" min="5" max="26" width="8.71"/>
  </cols>
  <sheetData>
    <row r="1">
      <c r="A1" s="4" t="s">
        <v>4</v>
      </c>
      <c r="B1" s="4" t="s">
        <v>69</v>
      </c>
      <c r="C1" s="4" t="s">
        <v>70</v>
      </c>
      <c r="D1" s="5" t="s">
        <v>71</v>
      </c>
    </row>
    <row r="2">
      <c r="A2" s="3" t="s">
        <v>11</v>
      </c>
      <c r="B2" s="3" t="s">
        <v>72</v>
      </c>
      <c r="C2" s="3">
        <v>3.0</v>
      </c>
      <c r="D2" s="6" t="str">
        <f t="array" ref="D2">IFERROR(INDEX(ticket!$B:$B,MATCH(A2,ticket!$E:$E,0)),"Not Found")</f>
        <v>2021-08-19 16:45:43</v>
      </c>
    </row>
    <row r="3">
      <c r="A3" s="3" t="s">
        <v>16</v>
      </c>
      <c r="B3" s="3" t="s">
        <v>73</v>
      </c>
      <c r="C3" s="3">
        <v>4.0</v>
      </c>
      <c r="D3" s="6" t="str">
        <f t="array" ref="D3">IFERROR(INDEX(ticket!$B:$B,MATCH(A3,ticket!$E:$E,0)),"Not Found")</f>
        <v>2021-08-21 11:09:22</v>
      </c>
    </row>
    <row r="4">
      <c r="A4" s="3" t="s">
        <v>20</v>
      </c>
      <c r="B4" s="3" t="s">
        <v>22</v>
      </c>
      <c r="C4" s="3">
        <v>5.0</v>
      </c>
      <c r="D4" s="6" t="str">
        <f t="array" ref="D4">IFERROR(INDEX(ticket!$B:$B,MATCH(A4,ticket!$E:$E,0)),"Not Found")</f>
        <v>2021-08-21 09:00:00</v>
      </c>
    </row>
    <row r="5">
      <c r="A5" s="3" t="s">
        <v>24</v>
      </c>
      <c r="B5" s="3" t="s">
        <v>74</v>
      </c>
      <c r="C5" s="3">
        <v>2.0</v>
      </c>
      <c r="D5" s="6" t="str">
        <f t="array" ref="D5">IFERROR(INDEX(ticket!$B:$B,MATCH(A5,ticket!$E:$E,0)),"Not Found")</f>
        <v>2021-08-22 10:00:00</v>
      </c>
    </row>
    <row r="6">
      <c r="A6" s="3" t="s">
        <v>28</v>
      </c>
      <c r="B6" s="3" t="s">
        <v>75</v>
      </c>
      <c r="C6" s="3">
        <v>3.0</v>
      </c>
      <c r="D6" s="6" t="str">
        <f t="array" ref="D6">IFERROR(INDEX(ticket!$B:$B,MATCH(A6,ticket!$E:$E,0)),"Not Found")</f>
        <v>2021-08-23 14:00:00</v>
      </c>
    </row>
    <row r="7">
      <c r="A7" s="3" t="s">
        <v>32</v>
      </c>
      <c r="B7" s="3" t="s">
        <v>76</v>
      </c>
      <c r="C7" s="3">
        <v>5.0</v>
      </c>
      <c r="D7" s="6" t="str">
        <f t="array" ref="D7">IFERROR(INDEX(ticket!$B:$B,MATCH(A7,ticket!$E:$E,0)),"Not Found")</f>
        <v>2021-08-25 08:00:00</v>
      </c>
    </row>
    <row r="8">
      <c r="A8" s="3" t="s">
        <v>36</v>
      </c>
      <c r="B8" s="3" t="s">
        <v>77</v>
      </c>
      <c r="C8" s="3">
        <v>1.0</v>
      </c>
      <c r="D8" s="6" t="str">
        <f t="array" ref="D8">IFERROR(INDEX(ticket!$B:$B,MATCH(A8,ticket!$E:$E,0)),"Not Found")</f>
        <v>2021-08-26 15:00:00</v>
      </c>
    </row>
    <row r="9">
      <c r="A9" s="3" t="s">
        <v>40</v>
      </c>
      <c r="B9" s="3" t="s">
        <v>78</v>
      </c>
      <c r="C9" s="3">
        <v>4.0</v>
      </c>
      <c r="D9" s="6" t="str">
        <f t="array" ref="D9">IFERROR(INDEX(ticket!$B:$B,MATCH(A9,ticket!$E:$E,0)),"Not Found")</f>
        <v>2021-08-27 10:00:00</v>
      </c>
    </row>
    <row r="10">
      <c r="A10" s="3" t="s">
        <v>44</v>
      </c>
      <c r="B10" s="3" t="s">
        <v>79</v>
      </c>
      <c r="C10" s="3">
        <v>3.0</v>
      </c>
      <c r="D10" s="6" t="str">
        <f t="array" ref="D10">IFERROR(INDEX(ticket!$B:$B,MATCH(A10,ticket!$E:$E,0)),"Not Found")</f>
        <v>2021-08-28 09:30:00</v>
      </c>
    </row>
    <row r="11">
      <c r="A11" s="3" t="s">
        <v>48</v>
      </c>
      <c r="B11" s="3" t="s">
        <v>80</v>
      </c>
      <c r="C11" s="3">
        <v>5.0</v>
      </c>
      <c r="D11" s="6" t="str">
        <f t="array" ref="D11">IFERROR(INDEX(ticket!$B:$B,MATCH(A11,ticket!$E:$E,0)),"Not Found")</f>
        <v>2021-08-29 14:00:00</v>
      </c>
    </row>
    <row r="12">
      <c r="A12" s="3" t="s">
        <v>52</v>
      </c>
      <c r="B12" s="3" t="s">
        <v>81</v>
      </c>
      <c r="C12" s="3">
        <v>2.0</v>
      </c>
      <c r="D12" s="6" t="str">
        <f t="array" ref="D12">IFERROR(INDEX(ticket!$B:$B,MATCH(A12,ticket!$E:$E,0)),"Not Found")</f>
        <v>2021-08-30 08:00:00</v>
      </c>
    </row>
    <row r="13">
      <c r="A13" s="3" t="s">
        <v>56</v>
      </c>
      <c r="B13" s="3" t="s">
        <v>82</v>
      </c>
      <c r="C13" s="3">
        <v>4.0</v>
      </c>
      <c r="D13" s="6" t="str">
        <f t="array" ref="D13">IFERROR(INDEX(ticket!$B:$B,MATCH(A13,ticket!$E:$E,0)),"Not Found")</f>
        <v>2021-09-01 11:00:00</v>
      </c>
    </row>
    <row r="14">
      <c r="A14" s="3" t="s">
        <v>60</v>
      </c>
      <c r="B14" s="3" t="s">
        <v>83</v>
      </c>
      <c r="C14" s="3">
        <v>3.0</v>
      </c>
      <c r="D14" s="6" t="str">
        <f t="array" ref="D14">IFERROR(INDEX(ticket!$B:$B,MATCH(A14,ticket!$E:$E,0)),"Not Found")</f>
        <v>2021-09-02 13:00:00</v>
      </c>
    </row>
    <row r="15">
      <c r="A15" s="3" t="s">
        <v>64</v>
      </c>
      <c r="B15" s="3" t="s">
        <v>84</v>
      </c>
      <c r="C15" s="3">
        <v>5.0</v>
      </c>
      <c r="D15" s="6" t="str">
        <f t="array" ref="D15">IFERROR(INDEX(ticket!$B:$B,MATCH(A15,ticket!$E:$E,0)),"Not Found")</f>
        <v>2021-09-03 09:00:00</v>
      </c>
    </row>
    <row r="16">
      <c r="A16" s="3" t="s">
        <v>68</v>
      </c>
      <c r="B16" s="3" t="s">
        <v>85</v>
      </c>
      <c r="C16" s="3">
        <v>1.0</v>
      </c>
      <c r="D16" s="6" t="str">
        <f t="array" ref="D16">IFERROR(INDEX(ticket!$B:$B,MATCH(A16,ticket!$E:$E,0)),"Not Found")</f>
        <v>2021-09-04 16:00:00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3" width="24.0"/>
    <col customWidth="1" min="4" max="26" width="8.71"/>
  </cols>
  <sheetData>
    <row r="1">
      <c r="A1" s="7" t="s">
        <v>3</v>
      </c>
      <c r="B1" s="7" t="s">
        <v>86</v>
      </c>
      <c r="C1" s="7" t="s">
        <v>87</v>
      </c>
    </row>
    <row r="2">
      <c r="A2" s="3" t="s">
        <v>10</v>
      </c>
      <c r="B2" s="3">
        <f>COUNTIFS(ticket!$D:$D,A2,ticket!$F:$F,TRUE)</f>
        <v>6</v>
      </c>
      <c r="C2" s="3">
        <f>COUNTIFS(ticket!$D:$D,A2,ticket!$G:$G,TRUE)</f>
        <v>6</v>
      </c>
    </row>
    <row r="3">
      <c r="A3" s="3" t="s">
        <v>15</v>
      </c>
      <c r="B3" s="3">
        <f>COUNTIFS(ticket!$D:$D,A3,ticket!$F:$F,TRUE)</f>
        <v>3</v>
      </c>
      <c r="C3" s="3">
        <f>COUNTIFS(ticket!$D:$D,A3,ticket!$G:$G,TRUE)</f>
        <v>1</v>
      </c>
    </row>
    <row r="5">
      <c r="A5" s="8" t="s">
        <v>88</v>
      </c>
    </row>
    <row r="6">
      <c r="A6" s="9" t="s">
        <v>89</v>
      </c>
    </row>
    <row r="7">
      <c r="A7" s="9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